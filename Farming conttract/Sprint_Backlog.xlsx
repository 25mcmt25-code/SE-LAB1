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HORE KARTHIKEYA M\Documents\GitHub\SE-LAB1\Farming conttract\"/>
    </mc:Choice>
  </mc:AlternateContent>
  <xr:revisionPtr revIDLastSave="0" documentId="13_ncr:1_{7A2B2654-C095-4E47-9FA9-4E5709217E9C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5" l="1"/>
  <c r="J19" i="5"/>
  <c r="I19" i="5"/>
  <c r="H19" i="5"/>
  <c r="G19" i="5"/>
  <c r="F19" i="5"/>
  <c r="E19" i="5"/>
  <c r="K26" i="4"/>
  <c r="J26" i="4"/>
  <c r="I26" i="4"/>
  <c r="H26" i="4"/>
  <c r="G26" i="4"/>
  <c r="F26" i="4"/>
  <c r="E26" i="4"/>
  <c r="K18" i="3"/>
  <c r="J18" i="3"/>
  <c r="I18" i="3"/>
  <c r="H18" i="3"/>
  <c r="G18" i="3"/>
  <c r="F18" i="3"/>
  <c r="E18" i="3"/>
  <c r="K24" i="2"/>
  <c r="J24" i="2"/>
  <c r="I24" i="2"/>
  <c r="H24" i="2"/>
  <c r="G24" i="2"/>
  <c r="F24" i="2"/>
  <c r="E24" i="2"/>
  <c r="K22" i="1"/>
  <c r="J22" i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<sst xmlns="http://schemas.openxmlformats.org/spreadsheetml/2006/main" count="259" uniqueCount="96">
  <si>
    <t>Sprint Backlog — Sprint 1: Authentication and User Management</t>
  </si>
  <si>
    <t>Backlog Item</t>
  </si>
  <si>
    <t>Story Points</t>
  </si>
  <si>
    <t>Responsible</t>
  </si>
  <si>
    <t>Status</t>
  </si>
  <si>
    <t>Original Estimate</t>
  </si>
  <si>
    <t>Day 1</t>
  </si>
  <si>
    <t>Day 2</t>
  </si>
  <si>
    <t>Day 3</t>
  </si>
  <si>
    <t>Day 4</t>
  </si>
  <si>
    <t>Day 5</t>
  </si>
  <si>
    <t>Sprint Review</t>
  </si>
  <si>
    <t>US-01 — User Registration</t>
  </si>
  <si>
    <t xml:space="preserve">    Design registration form (RegistrationUI)</t>
  </si>
  <si>
    <t>UI Dev</t>
  </si>
  <si>
    <t>Done</t>
  </si>
  <si>
    <t xml:space="preserve">    Implement RegistrationController</t>
  </si>
  <si>
    <t>Backend Dev</t>
  </si>
  <si>
    <t xml:space="preserve">    Implement AuthService password encryption</t>
  </si>
  <si>
    <t xml:space="preserve">    Implement UserRepository saveUser</t>
  </si>
  <si>
    <t xml:space="preserve">    Unit tests — registration flow</t>
  </si>
  <si>
    <t>QA</t>
  </si>
  <si>
    <t>US-02 — User Login</t>
  </si>
  <si>
    <t xml:space="preserve">    Design login form (LoginUI)</t>
  </si>
  <si>
    <t xml:space="preserve">    Implement LoginController</t>
  </si>
  <si>
    <t xml:space="preserve">    Implement session token generation</t>
  </si>
  <si>
    <t xml:space="preserve">    Unit tests — login flow</t>
  </si>
  <si>
    <t>US-03 — User Logout</t>
  </si>
  <si>
    <t xml:space="preserve">    Implement LogoutController</t>
  </si>
  <si>
    <t xml:space="preserve">    Implement token invalidation</t>
  </si>
  <si>
    <t xml:space="preserve">    Unit tests — logout flow</t>
  </si>
  <si>
    <t>Total</t>
  </si>
  <si>
    <t>Sprint Backlog — Sprint 2: Farmer Profile and Payment Details</t>
  </si>
  <si>
    <t>US-04 — Create Farmer Profile</t>
  </si>
  <si>
    <t xml:space="preserve">    Design profile creation form (FarmerProfileUI)</t>
  </si>
  <si>
    <t xml:space="preserve">    Implement ProfileController</t>
  </si>
  <si>
    <t xml:space="preserve">    Implement FarmerService createFarmerProfile</t>
  </si>
  <si>
    <t xml:space="preserve">    Implement ProfileRepository saveProfile</t>
  </si>
  <si>
    <t xml:space="preserve">    Unit tests — create profile</t>
  </si>
  <si>
    <t>US-05 — Update Farmer Profile</t>
  </si>
  <si>
    <t xml:space="preserve">    Design profile update form</t>
  </si>
  <si>
    <t xml:space="preserve">    Implement FarmerService updateFarmerProfile</t>
  </si>
  <si>
    <t xml:space="preserve">    Implement ProfileRepository update</t>
  </si>
  <si>
    <t xml:space="preserve">    Unit tests — update profile</t>
  </si>
  <si>
    <t>US-06 — Add Payment Details</t>
  </si>
  <si>
    <t xml:space="preserve">    Design payment details form</t>
  </si>
  <si>
    <t xml:space="preserve">    Implement PaymentController</t>
  </si>
  <si>
    <t xml:space="preserve">    Implement PaymentService validatePayment</t>
  </si>
  <si>
    <t xml:space="preserve">    Implement PaymentRepository savePayment</t>
  </si>
  <si>
    <t xml:space="preserve">    Unit tests — payment details</t>
  </si>
  <si>
    <t>Sprint Backlog — Sprint 3: Marketplace</t>
  </si>
  <si>
    <t>US-07 — Add Product Listing</t>
  </si>
  <si>
    <t xml:space="preserve">    Design product listing form (MarketplaceUI)</t>
  </si>
  <si>
    <t xml:space="preserve">    Implement ProductController submitProduct</t>
  </si>
  <si>
    <t xml:space="preserve">    Implement ProductRepository saveProduct</t>
  </si>
  <si>
    <t xml:space="preserve">    Implement listing validation logic</t>
  </si>
  <si>
    <t>To Do</t>
  </si>
  <si>
    <t xml:space="preserve">    Unit tests — product listing</t>
  </si>
  <si>
    <t>US-08 — View Marketplace</t>
  </si>
  <si>
    <t xml:space="preserve">    Design marketplace listing page</t>
  </si>
  <si>
    <t xml:space="preserve">    Implement fetchAllActiveListings</t>
  </si>
  <si>
    <t xml:space="preserve">    Implement empty state handling</t>
  </si>
  <si>
    <t xml:space="preserve">    Unit tests — marketplace view</t>
  </si>
  <si>
    <t>Sprint Backlog — Sprint 4: Search, Profiles and Contracts</t>
  </si>
  <si>
    <t>US-09 — Search Farmers</t>
  </si>
  <si>
    <t xml:space="preserve">    Design search UI</t>
  </si>
  <si>
    <t xml:space="preserve">    Implement SearchService searchByCrop</t>
  </si>
  <si>
    <t xml:space="preserve">    Implement SearchService searchByLocation</t>
  </si>
  <si>
    <t xml:space="preserve">    Unit tests — search</t>
  </si>
  <si>
    <t>US-10 — View Farmer Profile</t>
  </si>
  <si>
    <t xml:space="preserve">    Design farmer profile view</t>
  </si>
  <si>
    <t xml:space="preserve">    Implement ProfileRepository fetchProfile</t>
  </si>
  <si>
    <t xml:space="preserve">    Unit tests — view profile</t>
  </si>
  <si>
    <t>US-11 — Create Contract</t>
  </si>
  <si>
    <t xml:space="preserve">    Design contract creation form (ContractUI)</t>
  </si>
  <si>
    <t xml:space="preserve">    Implement ContractService createContract</t>
  </si>
  <si>
    <t xml:space="preserve">    Implement contract validation logic</t>
  </si>
  <si>
    <t xml:space="preserve">    Implement contract notifications</t>
  </si>
  <si>
    <t xml:space="preserve">    Unit tests — contract creation</t>
  </si>
  <si>
    <t>US-12 — View Contracts</t>
  </si>
  <si>
    <t xml:space="preserve">    Design contracts list UI</t>
  </si>
  <si>
    <t xml:space="preserve">    Implement ContractService getContracts</t>
  </si>
  <si>
    <t xml:space="preserve">    Unit tests — view contracts</t>
  </si>
  <si>
    <t>Sprint Backlog — Sprint 5: Reports and Support</t>
  </si>
  <si>
    <t>US-13 — Generate Reports</t>
  </si>
  <si>
    <t xml:space="preserve">    Design report selection UI (ReportUI)</t>
  </si>
  <si>
    <t xml:space="preserve">    Implement ReportController</t>
  </si>
  <si>
    <t xml:space="preserve">    Implement ReportService compileData</t>
  </si>
  <si>
    <t xml:space="preserve">    Implement PDF/CSV export</t>
  </si>
  <si>
    <t xml:space="preserve">    Unit tests — reports</t>
  </si>
  <si>
    <t>US-14 — Contact Support</t>
  </si>
  <si>
    <t xml:space="preserve">    Design support form (SupportUI)</t>
  </si>
  <si>
    <t xml:space="preserve">    Implement SupportController</t>
  </si>
  <si>
    <t xml:space="preserve">    Implement SupportService createTicket</t>
  </si>
  <si>
    <t xml:space="preserve">    Implement notifyUser</t>
  </si>
  <si>
    <t xml:space="preserve">    Unit tests —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</si>
</sst>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8"/>
      <color theme="1"/>
      <name val="Calibri"/>
      <charset val="1"/>
    </font>
    <font>
      <sz val="12"/>
      <color theme="1"/>
      <name val="Calibri"/>
      <family val="2"/>
      <charset val="1"/>
    </font>
    <font>
      <b/>
      <sz val="14"/>
      <color theme="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6" tint="0.79989013336588644"/>
        <bgColor rgb="FFFFFFFF"/>
      </patternFill>
    </fill>
    <fill>
      <patternFill patternType="solid">
        <fgColor theme="0" tint="-0.249977111117893"/>
        <bgColor rgb="FFC3D69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2"/>
  <sheetViews>
    <sheetView zoomScaleNormal="100" workbookViewId="0"/>
  </sheetViews>
  <sheetFormatPr defaultColWidth="8.6640625" defaultRowHeight="14.4" x14ac:dyDescent="0.3"/>
  <cols>
    <col min="1" max="1" width="34.88671875" customWidth="1"/>
    <col min="2" max="2" width="11.6640625" customWidth="1"/>
    <col min="3" max="3" width="19.109375" customWidth="1"/>
    <col min="4" max="4" width="18.88671875" customWidth="1"/>
    <col min="5" max="5" width="15.5546875" customWidth="1"/>
    <col min="11" max="11" width="14.6640625" customWidth="1"/>
  </cols>
  <sheetData>
    <row r="3" spans="1:11" ht="23.25" customHeight="1" x14ac:dyDescent="0.45">
      <c r="A3" s="1" t="s">
        <v>0</v>
      </c>
    </row>
    <row r="6" spans="1:11" ht="30.75" customHeight="1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ht="18" customHeight="1" x14ac:dyDescent="0.35">
      <c r="A7" s="3" t="s">
        <v>12</v>
      </c>
      <c r="B7" s="4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3">
      <c r="A8" s="6" t="s">
        <v>13</v>
      </c>
      <c r="B8" s="7"/>
      <c r="C8" s="6" t="s">
        <v>14</v>
      </c>
      <c r="D8" s="6" t="s">
        <v>15</v>
      </c>
      <c r="E8" s="7">
        <v>3</v>
      </c>
      <c r="F8" s="7">
        <v>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18" customHeight="1" x14ac:dyDescent="0.3">
      <c r="A9" s="6" t="s">
        <v>16</v>
      </c>
      <c r="B9" s="7"/>
      <c r="C9" s="6" t="s">
        <v>17</v>
      </c>
      <c r="D9" s="6" t="s">
        <v>15</v>
      </c>
      <c r="E9" s="7">
        <v>3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</row>
    <row r="10" spans="1:11" ht="18" customHeight="1" x14ac:dyDescent="0.3">
      <c r="A10" s="6" t="s">
        <v>18</v>
      </c>
      <c r="B10" s="7"/>
      <c r="C10" s="6" t="s">
        <v>17</v>
      </c>
      <c r="D10" s="6" t="s">
        <v>15</v>
      </c>
      <c r="E10" s="7">
        <v>2</v>
      </c>
      <c r="F10" s="7">
        <v>0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</row>
    <row r="11" spans="1:11" ht="18" customHeight="1" x14ac:dyDescent="0.3">
      <c r="A11" s="6" t="s">
        <v>19</v>
      </c>
      <c r="B11" s="7"/>
      <c r="C11" s="6" t="s">
        <v>17</v>
      </c>
      <c r="D11" s="6" t="s">
        <v>15</v>
      </c>
      <c r="E11" s="7">
        <v>2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</row>
    <row r="12" spans="1:11" ht="18" customHeight="1" x14ac:dyDescent="0.3">
      <c r="A12" s="6" t="s">
        <v>20</v>
      </c>
      <c r="B12" s="7"/>
      <c r="C12" s="6" t="s">
        <v>21</v>
      </c>
      <c r="D12" s="6" t="s">
        <v>15</v>
      </c>
      <c r="E12" s="7">
        <v>2</v>
      </c>
      <c r="F12" s="7">
        <v>0</v>
      </c>
      <c r="G12" s="7">
        <v>0</v>
      </c>
      <c r="H12" s="7">
        <v>2</v>
      </c>
      <c r="I12" s="7">
        <v>0</v>
      </c>
      <c r="J12" s="7">
        <v>0</v>
      </c>
      <c r="K12" s="7">
        <v>0</v>
      </c>
    </row>
    <row r="13" spans="1:11" ht="18" customHeight="1" x14ac:dyDescent="0.35">
      <c r="A13" s="3" t="s">
        <v>22</v>
      </c>
      <c r="B13" s="4">
        <v>3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18" customHeight="1" x14ac:dyDescent="0.3">
      <c r="A14" s="6" t="s">
        <v>23</v>
      </c>
      <c r="B14" s="7"/>
      <c r="C14" s="6" t="s">
        <v>14</v>
      </c>
      <c r="D14" s="6" t="s">
        <v>15</v>
      </c>
      <c r="E14" s="7">
        <v>2</v>
      </c>
      <c r="F14" s="7">
        <v>2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</row>
    <row r="15" spans="1:11" ht="18" customHeight="1" x14ac:dyDescent="0.3">
      <c r="A15" s="6" t="s">
        <v>24</v>
      </c>
      <c r="B15" s="7"/>
      <c r="C15" s="6" t="s">
        <v>17</v>
      </c>
      <c r="D15" s="6" t="s">
        <v>15</v>
      </c>
      <c r="E15" s="7">
        <v>2</v>
      </c>
      <c r="F15" s="7">
        <v>0</v>
      </c>
      <c r="G15" s="7">
        <v>2</v>
      </c>
      <c r="H15" s="7">
        <v>0</v>
      </c>
      <c r="I15" s="7">
        <v>0</v>
      </c>
      <c r="J15" s="7">
        <v>0</v>
      </c>
      <c r="K15" s="7">
        <v>0</v>
      </c>
    </row>
    <row r="16" spans="1:11" ht="18" customHeight="1" x14ac:dyDescent="0.3">
      <c r="A16" s="6" t="s">
        <v>25</v>
      </c>
      <c r="B16" s="7"/>
      <c r="C16" s="6" t="s">
        <v>17</v>
      </c>
      <c r="D16" s="6" t="s">
        <v>15</v>
      </c>
      <c r="E16" s="7">
        <v>2</v>
      </c>
      <c r="F16" s="7">
        <v>0</v>
      </c>
      <c r="G16" s="7">
        <v>0</v>
      </c>
      <c r="H16" s="7">
        <v>2</v>
      </c>
      <c r="I16" s="7">
        <v>0</v>
      </c>
      <c r="J16" s="7">
        <v>0</v>
      </c>
      <c r="K16" s="7">
        <v>0</v>
      </c>
    </row>
    <row r="17" spans="1:11" ht="18" customHeight="1" x14ac:dyDescent="0.3">
      <c r="A17" s="6" t="s">
        <v>26</v>
      </c>
      <c r="B17" s="7"/>
      <c r="C17" s="6" t="s">
        <v>21</v>
      </c>
      <c r="D17" s="6" t="s">
        <v>15</v>
      </c>
      <c r="E17" s="7">
        <v>1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</row>
    <row r="18" spans="1:11" ht="18" customHeight="1" x14ac:dyDescent="0.35">
      <c r="A18" s="3" t="s">
        <v>27</v>
      </c>
      <c r="B18" s="4">
        <v>2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ht="18" customHeight="1" x14ac:dyDescent="0.3">
      <c r="A19" s="6" t="s">
        <v>28</v>
      </c>
      <c r="B19" s="7"/>
      <c r="C19" s="6" t="s">
        <v>17</v>
      </c>
      <c r="D19" s="6" t="s">
        <v>15</v>
      </c>
      <c r="E19" s="7">
        <v>1</v>
      </c>
      <c r="F19" s="7">
        <v>0</v>
      </c>
      <c r="G19" s="7">
        <v>0</v>
      </c>
      <c r="H19" s="7">
        <v>1</v>
      </c>
      <c r="I19" s="7">
        <v>0</v>
      </c>
      <c r="J19" s="7">
        <v>0</v>
      </c>
      <c r="K19" s="7">
        <v>0</v>
      </c>
    </row>
    <row r="20" spans="1:11" ht="18" customHeight="1" x14ac:dyDescent="0.3">
      <c r="A20" s="6" t="s">
        <v>29</v>
      </c>
      <c r="B20" s="7"/>
      <c r="C20" s="6" t="s">
        <v>17</v>
      </c>
      <c r="D20" s="6" t="s">
        <v>15</v>
      </c>
      <c r="E20" s="7">
        <v>1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</row>
    <row r="21" spans="1:11" ht="18" customHeight="1" x14ac:dyDescent="0.3">
      <c r="A21" s="6" t="s">
        <v>30</v>
      </c>
      <c r="B21" s="7"/>
      <c r="C21" s="6" t="s">
        <v>21</v>
      </c>
      <c r="D21" s="6" t="s">
        <v>15</v>
      </c>
      <c r="E21" s="7">
        <v>1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</row>
    <row r="22" spans="1:11" ht="28.5" customHeight="1" x14ac:dyDescent="0.3">
      <c r="A22" s="8" t="s">
        <v>31</v>
      </c>
      <c r="B22" s="8"/>
      <c r="C22" s="8"/>
      <c r="D22" s="8"/>
      <c r="E22" s="8">
        <f t="shared" ref="E22:K22" si="0">SUM(E7:E21)</f>
        <v>22</v>
      </c>
      <c r="F22" s="8">
        <f t="shared" si="0"/>
        <v>5</v>
      </c>
      <c r="G22" s="8">
        <f t="shared" si="0"/>
        <v>7</v>
      </c>
      <c r="H22" s="8">
        <f t="shared" si="0"/>
        <v>8</v>
      </c>
      <c r="I22" s="8">
        <f t="shared" si="0"/>
        <v>2</v>
      </c>
      <c r="J22" s="8">
        <f t="shared" si="0"/>
        <v>0</v>
      </c>
      <c r="K22" s="8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24"/>
  <sheetViews>
    <sheetView topLeftCell="A6" zoomScaleNormal="100" workbookViewId="0"/>
  </sheetViews>
  <sheetFormatPr defaultColWidth="8.6640625" defaultRowHeight="14.4" x14ac:dyDescent="0.3"/>
  <cols>
    <col min="1" max="1" width="34.88671875" customWidth="1"/>
    <col min="2" max="2" width="11.6640625" customWidth="1"/>
    <col min="3" max="3" width="19.109375" customWidth="1"/>
    <col min="4" max="4" width="18.88671875" customWidth="1"/>
    <col min="5" max="5" width="15.5546875" customWidth="1"/>
    <col min="11" max="11" width="14.6640625" customWidth="1"/>
  </cols>
  <sheetData>
    <row r="3" spans="1:11" ht="23.25" customHeight="1" x14ac:dyDescent="0.45">
      <c r="A3" s="1" t="s">
        <v>32</v>
      </c>
    </row>
    <row r="6" spans="1:11" ht="30.75" customHeight="1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ht="18" customHeight="1" x14ac:dyDescent="0.35">
      <c r="A7" s="3" t="s">
        <v>33</v>
      </c>
      <c r="B7" s="4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3">
      <c r="A8" s="6" t="s">
        <v>34</v>
      </c>
      <c r="B8" s="7"/>
      <c r="C8" s="6" t="s">
        <v>14</v>
      </c>
      <c r="D8" s="6" t="s">
        <v>15</v>
      </c>
      <c r="E8" s="7">
        <v>3</v>
      </c>
      <c r="F8" s="7">
        <v>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18" customHeight="1" x14ac:dyDescent="0.3">
      <c r="A9" s="6" t="s">
        <v>35</v>
      </c>
      <c r="B9" s="7"/>
      <c r="C9" s="6" t="s">
        <v>17</v>
      </c>
      <c r="D9" s="6" t="s">
        <v>15</v>
      </c>
      <c r="E9" s="7">
        <v>3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</row>
    <row r="10" spans="1:11" ht="18" customHeight="1" x14ac:dyDescent="0.3">
      <c r="A10" s="6" t="s">
        <v>36</v>
      </c>
      <c r="B10" s="7"/>
      <c r="C10" s="6" t="s">
        <v>17</v>
      </c>
      <c r="D10" s="6" t="s">
        <v>15</v>
      </c>
      <c r="E10" s="7">
        <v>2</v>
      </c>
      <c r="F10" s="7">
        <v>0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</row>
    <row r="11" spans="1:11" ht="18" customHeight="1" x14ac:dyDescent="0.3">
      <c r="A11" s="6" t="s">
        <v>37</v>
      </c>
      <c r="B11" s="7"/>
      <c r="C11" s="6" t="s">
        <v>17</v>
      </c>
      <c r="D11" s="6" t="s">
        <v>15</v>
      </c>
      <c r="E11" s="7">
        <v>2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</row>
    <row r="12" spans="1:11" ht="18" customHeight="1" x14ac:dyDescent="0.3">
      <c r="A12" s="6" t="s">
        <v>38</v>
      </c>
      <c r="B12" s="7"/>
      <c r="C12" s="6" t="s">
        <v>21</v>
      </c>
      <c r="D12" s="6" t="s">
        <v>15</v>
      </c>
      <c r="E12" s="7">
        <v>2</v>
      </c>
      <c r="F12" s="7">
        <v>0</v>
      </c>
      <c r="G12" s="7">
        <v>0</v>
      </c>
      <c r="H12" s="7">
        <v>2</v>
      </c>
      <c r="I12" s="7">
        <v>0</v>
      </c>
      <c r="J12" s="7">
        <v>0</v>
      </c>
      <c r="K12" s="7">
        <v>0</v>
      </c>
    </row>
    <row r="13" spans="1:11" ht="18" customHeight="1" x14ac:dyDescent="0.35">
      <c r="A13" s="3" t="s">
        <v>39</v>
      </c>
      <c r="B13" s="4">
        <v>3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18" customHeight="1" x14ac:dyDescent="0.3">
      <c r="A14" s="6" t="s">
        <v>40</v>
      </c>
      <c r="B14" s="7"/>
      <c r="C14" s="6" t="s">
        <v>14</v>
      </c>
      <c r="D14" s="6" t="s">
        <v>15</v>
      </c>
      <c r="E14" s="7">
        <v>2</v>
      </c>
      <c r="F14" s="7">
        <v>0</v>
      </c>
      <c r="G14" s="7">
        <v>0</v>
      </c>
      <c r="H14" s="7">
        <v>2</v>
      </c>
      <c r="I14" s="7">
        <v>0</v>
      </c>
      <c r="J14" s="7">
        <v>0</v>
      </c>
      <c r="K14" s="7">
        <v>0</v>
      </c>
    </row>
    <row r="15" spans="1:11" ht="18" customHeight="1" x14ac:dyDescent="0.3">
      <c r="A15" s="6" t="s">
        <v>41</v>
      </c>
      <c r="B15" s="7"/>
      <c r="C15" s="6" t="s">
        <v>17</v>
      </c>
      <c r="D15" s="6" t="s">
        <v>15</v>
      </c>
      <c r="E15" s="7">
        <v>2</v>
      </c>
      <c r="F15" s="7">
        <v>0</v>
      </c>
      <c r="G15" s="7">
        <v>0</v>
      </c>
      <c r="H15" s="7">
        <v>0</v>
      </c>
      <c r="I15" s="7">
        <v>2</v>
      </c>
      <c r="J15" s="7">
        <v>0</v>
      </c>
      <c r="K15" s="7">
        <v>0</v>
      </c>
    </row>
    <row r="16" spans="1:11" ht="18" customHeight="1" x14ac:dyDescent="0.3">
      <c r="A16" s="6" t="s">
        <v>42</v>
      </c>
      <c r="B16" s="7"/>
      <c r="C16" s="6" t="s">
        <v>17</v>
      </c>
      <c r="D16" s="6" t="s">
        <v>15</v>
      </c>
      <c r="E16" s="7">
        <v>2</v>
      </c>
      <c r="F16" s="7">
        <v>0</v>
      </c>
      <c r="G16" s="7">
        <v>0</v>
      </c>
      <c r="H16" s="7">
        <v>0</v>
      </c>
      <c r="I16" s="7">
        <v>2</v>
      </c>
      <c r="J16" s="7">
        <v>0</v>
      </c>
      <c r="K16" s="7">
        <v>0</v>
      </c>
    </row>
    <row r="17" spans="1:11" ht="18" customHeight="1" x14ac:dyDescent="0.3">
      <c r="A17" s="6" t="s">
        <v>43</v>
      </c>
      <c r="B17" s="7"/>
      <c r="C17" s="6" t="s">
        <v>21</v>
      </c>
      <c r="D17" s="6" t="s">
        <v>15</v>
      </c>
      <c r="E17" s="7">
        <v>1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</row>
    <row r="18" spans="1:11" ht="18" customHeight="1" x14ac:dyDescent="0.35">
      <c r="A18" s="3" t="s">
        <v>44</v>
      </c>
      <c r="B18" s="4">
        <v>5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ht="18" customHeight="1" x14ac:dyDescent="0.3">
      <c r="A19" s="6" t="s">
        <v>45</v>
      </c>
      <c r="B19" s="7"/>
      <c r="C19" s="6" t="s">
        <v>14</v>
      </c>
      <c r="D19" s="6" t="s">
        <v>15</v>
      </c>
      <c r="E19" s="7">
        <v>2</v>
      </c>
      <c r="F19" s="7">
        <v>0</v>
      </c>
      <c r="G19" s="7">
        <v>0</v>
      </c>
      <c r="H19" s="7">
        <v>0</v>
      </c>
      <c r="I19" s="7">
        <v>2</v>
      </c>
      <c r="J19" s="7">
        <v>0</v>
      </c>
      <c r="K19" s="7">
        <v>0</v>
      </c>
    </row>
    <row r="20" spans="1:11" ht="18" customHeight="1" x14ac:dyDescent="0.3">
      <c r="A20" s="6" t="s">
        <v>46</v>
      </c>
      <c r="B20" s="7"/>
      <c r="C20" s="6" t="s">
        <v>17</v>
      </c>
      <c r="D20" s="6" t="s">
        <v>15</v>
      </c>
      <c r="E20" s="7">
        <v>3</v>
      </c>
      <c r="F20" s="7">
        <v>0</v>
      </c>
      <c r="G20" s="7">
        <v>0</v>
      </c>
      <c r="H20" s="7">
        <v>0</v>
      </c>
      <c r="I20" s="7">
        <v>3</v>
      </c>
      <c r="J20" s="7">
        <v>0</v>
      </c>
      <c r="K20" s="7">
        <v>0</v>
      </c>
    </row>
    <row r="21" spans="1:11" ht="18" customHeight="1" x14ac:dyDescent="0.3">
      <c r="A21" s="6" t="s">
        <v>47</v>
      </c>
      <c r="B21" s="7"/>
      <c r="C21" s="6" t="s">
        <v>17</v>
      </c>
      <c r="D21" s="6" t="s">
        <v>15</v>
      </c>
      <c r="E21" s="7">
        <v>2</v>
      </c>
      <c r="F21" s="7">
        <v>0</v>
      </c>
      <c r="G21" s="7">
        <v>0</v>
      </c>
      <c r="H21" s="7">
        <v>0</v>
      </c>
      <c r="I21" s="7">
        <v>0</v>
      </c>
      <c r="J21" s="7">
        <v>2</v>
      </c>
      <c r="K21" s="7">
        <v>0</v>
      </c>
    </row>
    <row r="22" spans="1:11" ht="18" customHeight="1" x14ac:dyDescent="0.3">
      <c r="A22" s="6" t="s">
        <v>48</v>
      </c>
      <c r="B22" s="7"/>
      <c r="C22" s="6" t="s">
        <v>17</v>
      </c>
      <c r="D22" s="6" t="s">
        <v>15</v>
      </c>
      <c r="E22" s="7">
        <v>2</v>
      </c>
      <c r="F22" s="7">
        <v>0</v>
      </c>
      <c r="G22" s="7">
        <v>0</v>
      </c>
      <c r="H22" s="7">
        <v>0</v>
      </c>
      <c r="I22" s="7">
        <v>0</v>
      </c>
      <c r="J22" s="7">
        <v>2</v>
      </c>
      <c r="K22" s="7">
        <v>0</v>
      </c>
    </row>
    <row r="23" spans="1:11" ht="18" customHeight="1" x14ac:dyDescent="0.3">
      <c r="A23" s="6" t="s">
        <v>49</v>
      </c>
      <c r="B23" s="7"/>
      <c r="C23" s="6" t="s">
        <v>21</v>
      </c>
      <c r="D23" s="6" t="s">
        <v>15</v>
      </c>
      <c r="E23" s="7">
        <v>2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0</v>
      </c>
    </row>
    <row r="24" spans="1:11" ht="28.5" customHeight="1" x14ac:dyDescent="0.3">
      <c r="A24" s="8" t="s">
        <v>31</v>
      </c>
      <c r="B24" s="8"/>
      <c r="C24" s="8"/>
      <c r="D24" s="8"/>
      <c r="E24" s="8">
        <f t="shared" ref="E24:K24" si="0">SUM(E7:E23)</f>
        <v>30</v>
      </c>
      <c r="F24" s="8">
        <f t="shared" si="0"/>
        <v>3</v>
      </c>
      <c r="G24" s="8">
        <f t="shared" si="0"/>
        <v>5</v>
      </c>
      <c r="H24" s="8">
        <f t="shared" si="0"/>
        <v>6</v>
      </c>
      <c r="I24" s="8">
        <f t="shared" si="0"/>
        <v>10</v>
      </c>
      <c r="J24" s="8">
        <f t="shared" si="0"/>
        <v>6</v>
      </c>
      <c r="K24" s="8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3:K18"/>
  <sheetViews>
    <sheetView tabSelected="1" zoomScaleNormal="100" workbookViewId="0">
      <selection activeCell="D23" sqref="D23"/>
    </sheetView>
  </sheetViews>
  <sheetFormatPr defaultColWidth="8.6640625" defaultRowHeight="14.4" ns3:dyDescent="0.3"/>
  <cols>
    <col min="1" max="1" width="34.88671875" customWidth="1"/>
    <col min="2" max="2" width="11.6640625" customWidth="1"/>
    <col min="3" max="3" width="19.109375" customWidth="1"/>
    <col min="4" max="4" width="18.88671875" customWidth="1"/>
    <col min="5" max="5" width="15.5546875" customWidth="1"/>
    <col min="11" max="11" width="14.6640625" customWidth="1"/>
  </cols>
  <sheetData>
    <row r="3" spans="1:11" ht="23.25" customHeight="1" ns3:dyDescent="0.45">
      <c r="A3" s="1" t="s">
        <v>50</v>
      </c>
    </row>
    <row r="6" spans="1:11" ht="30.75" customHeight="1" ns3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ht="18" customHeight="1" ns3:dyDescent="0.35">
      <c r="A7" s="3" t="s">
        <v>51</v>
      </c>
      <c r="B7" s="4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ns3:dyDescent="0.3">
      <c r="A8" s="6" t="s">
        <v>52</v>
      </c>
      <c r="B8" s="7"/>
      <c r="C8" s="6" t="s">
        <v>14</v>
      </c>
      <c r="D8" s="6" t="s">
        <v>15</v>
      </c>
      <c r="E8" s="7">
        <v>3</v>
      </c>
      <c r="F8" s="7">
        <v>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18" customHeight="1" ns3:dyDescent="0.3">
      <c r="A9" s="6" t="s">
        <v>53</v>
      </c>
      <c r="B9" s="7"/>
      <c r="C9" s="6" t="s">
        <v>17</v>
      </c>
      <c r="D9" s="6" t="s">
        <v>15</v>
      </c>
      <c r="E9" s="7">
        <v>3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</row>
    <row r="10" spans="1:11" ht="18" customHeight="1" ns3:dyDescent="0.3">
      <c r="A10" s="6" t="s">
        <v>54</v>
      </c>
      <c r="B10" s="7"/>
      <c r="C10" s="6" t="s">
        <v>17</v>
      </c>
      <c r="D10" s="6" t="s">
        <v>15</v>
      </c>
      <c r="E10" s="7">
        <v>2</v>
      </c>
      <c r="F10" s="7">
        <v>0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</row>
    <row r="11" spans="1:11" ht="18" customHeight="1" ns3:dyDescent="0.3">
      <c r="A11" s="6" t="s">
        <v>55</v>
      </c>
      <c r="B11" s="7"/>
      <c r="C11" s="6" t="s">
        <v>17</v>
      </c>
      <c r="D11" s="6" t="s">
        <v>15</v>
      </c>
      <c r="E11" s="7">
        <v>2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</row>
    <row r="12" spans="1:11" ht="18" customHeight="1" ns3:dyDescent="0.3">
      <c r="A12" s="6" t="s">
        <v>57</v>
      </c>
      <c r="B12" s="7"/>
      <c r="C12" s="6" t="s">
        <v>21</v>
      </c>
      <c r="D12" s="6" t="s">
        <v>15</v>
      </c>
      <c r="E12" s="7">
        <v>2</v>
      </c>
      <c r="F12" s="7">
        <v>0</v>
      </c>
      <c r="G12" s="7">
        <v>0</v>
      </c>
      <c r="H12" s="7">
        <v>0</v>
      </c>
      <c r="I12" s="7">
        <v>2</v>
      </c>
      <c r="J12" s="7">
        <v>0</v>
      </c>
      <c r="K12" s="7">
        <v>0</v>
      </c>
    </row>
    <row r="13" spans="1:11" ht="18" customHeight="1" ns3:dyDescent="0.35">
      <c r="A13" s="3" t="s">
        <v>58</v>
      </c>
      <c r="B13" s="4">
        <v>3</v>
      </c>
      <c r="C13" s="5"/>
      <c r="D13" s="6"/>
      <c r="E13" s="5"/>
      <c r="F13" s="5"/>
      <c r="G13" s="5"/>
      <c r="H13" s="5"/>
      <c r="I13" s="5"/>
      <c r="J13" s="5"/>
      <c r="K13" s="5"/>
    </row>
    <row r="14" spans="1:11" ht="18" customHeight="1" ns3:dyDescent="0.3">
      <c r="A14" s="6" t="s">
        <v>59</v>
      </c>
      <c r="B14" s="7"/>
      <c r="C14" s="6" t="s">
        <v>14</v>
      </c>
      <c r="D14" s="6" t="s">
        <v>15</v>
      </c>
      <c r="E14" s="7">
        <v>3</v>
      </c>
      <c r="F14" s="7">
        <v>0</v>
      </c>
      <c r="G14" s="7">
        <v>3</v>
      </c>
      <c r="H14" s="7">
        <v>0</v>
      </c>
      <c r="I14" s="7">
        <v>0</v>
      </c>
      <c r="J14" s="7">
        <v>0</v>
      </c>
      <c r="K14" s="7">
        <v>0</v>
      </c>
    </row>
    <row r="15" spans="1:11" ht="18" customHeight="1" ns3:dyDescent="0.3">
      <c r="A15" s="6" t="s">
        <v>60</v>
      </c>
      <c r="B15" s="7"/>
      <c r="C15" s="6" t="s">
        <v>17</v>
      </c>
      <c r="D15" s="6" t="s">
        <v>15</v>
      </c>
      <c r="E15" s="7">
        <v>2</v>
      </c>
      <c r="F15" s="7">
        <v>0</v>
      </c>
      <c r="G15" s="7">
        <v>0</v>
      </c>
      <c r="H15" s="7">
        <v>2</v>
      </c>
      <c r="I15" s="7">
        <v>0</v>
      </c>
      <c r="J15" s="7">
        <v>0</v>
      </c>
      <c r="K15" s="7">
        <v>0</v>
      </c>
    </row>
    <row r="16" spans="1:11" ht="18" customHeight="1" ns3:dyDescent="0.3">
      <c r="A16" s="6" t="s">
        <v>61</v>
      </c>
      <c r="B16" s="7"/>
      <c r="C16" s="6" t="s">
        <v>17</v>
      </c>
      <c r="D16" s="6" t="s">
        <v>15</v>
      </c>
      <c r="E16" s="7">
        <v>1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</row>
    <row r="17" spans="1:11" ht="18" customHeight="1" ns3:dyDescent="0.3">
      <c r="A17" s="6" t="s">
        <v>62</v>
      </c>
      <c r="B17" s="7"/>
      <c r="C17" s="6" t="s">
        <v>21</v>
      </c>
      <c r="D17" s="6" t="s">
        <v>15</v>
      </c>
      <c r="E17" s="7">
        <v>2</v>
      </c>
      <c r="F17" s="7">
        <v>0</v>
      </c>
      <c r="G17" s="7">
        <v>0</v>
      </c>
      <c r="H17" s="7">
        <v>0</v>
      </c>
      <c r="I17" s="7">
        <v>0</v>
      </c>
      <c r="J17" s="7">
        <v>2</v>
      </c>
      <c r="K17" s="7">
        <v>0</v>
      </c>
    </row>
    <row r="18" spans="1:11" ht="28.5" customHeight="1" ns3:dyDescent="0.3">
      <c r="A18" s="8" t="s">
        <v>31</v>
      </c>
      <c r="B18" s="8"/>
      <c r="C18" s="8"/>
      <c r="D18" s="8"/>
      <c r="E18" s="8">
        <f t="shared" ref="E18:K18" si="0">SUM(E7:E17)</f>
        <v>20</v>
      </c>
      <c r="F18" s="8">
        <f t="shared" si="0"/>
        <v>3</v>
      </c>
      <c r="G18" s="8">
        <f t="shared" si="0"/>
        <v>8</v>
      </c>
      <c r="H18" s="8">
        <f t="shared" si="0"/>
        <v>4</v>
      </c>
      <c r="I18" s="8">
        <f t="shared" si="0"/>
        <v>3</v>
      </c>
      <c r="J18" s="8">
        <f t="shared" si="0"/>
        <v>2</v>
      </c>
      <c r="K18" s="8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3:K26"/>
  <sheetViews>
    <sheetView topLeftCell="A13" zoomScaleNormal="100" workbookViewId="0">
      <selection activeCell="B35" sqref="B35"/>
    </sheetView>
  </sheetViews>
  <sheetFormatPr defaultColWidth="8.6640625" defaultRowHeight="14.4" ns3:dyDescent="0.3"/>
  <cols>
    <col min="1" max="1" width="34.88671875" customWidth="1"/>
    <col min="2" max="2" width="11.6640625" customWidth="1"/>
    <col min="3" max="3" width="19.109375" customWidth="1"/>
    <col min="4" max="4" width="18.88671875" customWidth="1"/>
    <col min="5" max="5" width="15.5546875" customWidth="1"/>
    <col min="11" max="11" width="14.6640625" customWidth="1"/>
  </cols>
  <sheetData>
    <row r="3" spans="1:11" ht="23.25" customHeight="1" ns3:dyDescent="0.45">
      <c r="A3" s="1" t="s">
        <v>63</v>
      </c>
    </row>
    <row r="6" spans="1:11" ht="30.75" customHeight="1" ns3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ht="18" customHeight="1" ns3:dyDescent="0.35">
      <c r="A7" s="3" t="s">
        <v>64</v>
      </c>
      <c r="B7" s="4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ns3:dyDescent="0.3">
      <c r="A8" s="6" t="s">
        <v>65</v>
      </c>
      <c r="B8" s="7"/>
      <c r="C8" s="6" t="s">
        <v>14</v>
      </c>
      <c r="D8" s="6" t="s">
        <v>15</v>
      </c>
      <c r="E8" s="7">
        <v>2</v>
      </c>
      <c r="F8" s="7">
        <v>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18" customHeight="1" ns3:dyDescent="0.3">
      <c r="A9" s="6" t="s">
        <v>66</v>
      </c>
      <c r="B9" s="7"/>
      <c r="C9" s="6" t="s">
        <v>17</v>
      </c>
      <c r="D9" s="6" t="s">
        <v>15</v>
      </c>
      <c r="E9" s="7">
        <v>3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</row>
    <row r="10" spans="1:11" ht="18" customHeight="1" ns3:dyDescent="0.3">
      <c r="A10" s="6" t="s">
        <v>67</v>
      </c>
      <c r="B10" s="7"/>
      <c r="C10" s="6" t="s">
        <v>17</v>
      </c>
      <c r="D10" s="6" t="s">
        <v>15</v>
      </c>
      <c r="E10" s="7">
        <v>2</v>
      </c>
      <c r="F10" s="7">
        <v>0</v>
      </c>
      <c r="G10" s="7">
        <v>0</v>
      </c>
      <c r="H10" s="7">
        <v>2</v>
      </c>
      <c r="I10" s="7">
        <v>0</v>
      </c>
      <c r="J10" s="7">
        <v>0</v>
      </c>
      <c r="K10" s="7">
        <v>0</v>
      </c>
    </row>
    <row r="11" spans="1:11" ht="18" customHeight="1" ns3:dyDescent="0.3">
      <c r="A11" s="6" t="s">
        <v>68</v>
      </c>
      <c r="B11" s="7"/>
      <c r="C11" s="6" t="s">
        <v>21</v>
      </c>
      <c r="D11" s="6" t="s">
        <v>15</v>
      </c>
      <c r="E11" s="7">
        <v>2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</row>
    <row r="12" spans="1:11" ht="18" customHeight="1" ns3:dyDescent="0.35">
      <c r="A12" s="3" t="s">
        <v>69</v>
      </c>
      <c r="B12" s="4">
        <v>3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ht="18" customHeight="1" ns3:dyDescent="0.3">
      <c r="A13" s="6" t="s">
        <v>70</v>
      </c>
      <c r="B13" s="7"/>
      <c r="C13" s="6" t="s">
        <v>14</v>
      </c>
      <c r="D13" s="6" t="s">
        <v>15</v>
      </c>
      <c r="E13" s="7">
        <v>2</v>
      </c>
      <c r="F13" s="7">
        <v>0</v>
      </c>
      <c r="G13" s="7">
        <v>0</v>
      </c>
      <c r="H13" s="7">
        <v>0</v>
      </c>
      <c r="I13" s="7">
        <v>2</v>
      </c>
      <c r="J13" s="7">
        <v>0</v>
      </c>
      <c r="K13" s="7">
        <v>0</v>
      </c>
    </row>
    <row r="14" spans="1:11" ht="18" customHeight="1" ns3:dyDescent="0.3">
      <c r="A14" s="6" t="s">
        <v>71</v>
      </c>
      <c r="B14" s="7"/>
      <c r="C14" s="6" t="s">
        <v>17</v>
      </c>
      <c r="D14" s="6" t="s">
        <v>15</v>
      </c>
      <c r="E14" s="7">
        <v>2</v>
      </c>
      <c r="F14" s="7">
        <v>0</v>
      </c>
      <c r="G14" s="7">
        <v>0</v>
      </c>
      <c r="H14" s="7">
        <v>0</v>
      </c>
      <c r="I14" s="7">
        <v>2</v>
      </c>
      <c r="J14" s="7">
        <v>0</v>
      </c>
      <c r="K14" s="7">
        <v>0</v>
      </c>
    </row>
    <row r="15" spans="1:11" ht="18" customHeight="1" ns3:dyDescent="0.3">
      <c r="A15" s="6" t="s">
        <v>72</v>
      </c>
      <c r="B15" s="7"/>
      <c r="C15" s="6" t="s">
        <v>21</v>
      </c>
      <c r="D15" s="6" t="s">
        <v>15</v>
      </c>
      <c r="E15" s="7">
        <v>1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7">
        <v>0</v>
      </c>
    </row>
    <row r="16" spans="1:11" ht="18" customHeight="1" ns3:dyDescent="0.35">
      <c r="A16" s="3" t="s">
        <v>73</v>
      </c>
      <c r="B16" s="4">
        <v>8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 ht="18" customHeight="1" ns3:dyDescent="0.3">
      <c r="A17" s="6" t="s">
        <v>74</v>
      </c>
      <c r="B17" s="7"/>
      <c r="C17" s="6" t="s">
        <v>14</v>
      </c>
      <c r="D17" s="6" t="s">
        <v>15</v>
      </c>
      <c r="E17" s="7">
        <v>3</v>
      </c>
      <c r="F17" s="7">
        <v>0</v>
      </c>
      <c r="G17" s="7">
        <v>0</v>
      </c>
      <c r="H17" s="7">
        <v>0</v>
      </c>
      <c r="I17" s="7">
        <v>0</v>
      </c>
      <c r="J17" s="7">
        <v>3</v>
      </c>
      <c r="K17" s="7">
        <v>0</v>
      </c>
    </row>
    <row r="18" spans="1:11" ht="18" customHeight="1" ns3:dyDescent="0.3">
      <c r="A18" s="6" t="s">
        <v>75</v>
      </c>
      <c r="B18" s="7"/>
      <c r="C18" s="6" t="s">
        <v>17</v>
      </c>
      <c r="D18" s="6" t="s">
        <v>15</v>
      </c>
      <c r="E18" s="7">
        <v>4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0</v>
      </c>
    </row>
    <row r="19" spans="1:11" ht="18" customHeight="1" ns3:dyDescent="0.3">
      <c r="A19" s="6" t="s">
        <v>76</v>
      </c>
      <c r="B19" s="7"/>
      <c r="C19" s="6" t="s">
        <v>17</v>
      </c>
      <c r="D19" s="6" t="s">
        <v>15</v>
      </c>
      <c r="E19" s="7">
        <v>3</v>
      </c>
      <c r="F19" s="7">
        <v>0</v>
      </c>
      <c r="G19" s="7">
        <v>0</v>
      </c>
      <c r="H19" s="7">
        <v>0</v>
      </c>
      <c r="I19" s="7">
        <v>0</v>
      </c>
      <c r="J19" s="7">
        <v>3</v>
      </c>
      <c r="K19" s="7">
        <v>0</v>
      </c>
    </row>
    <row r="20" spans="1:11" ht="18" customHeight="1" ns3:dyDescent="0.3">
      <c r="A20" s="6" t="s">
        <v>77</v>
      </c>
      <c r="B20" s="7"/>
      <c r="C20" s="6" t="s">
        <v>17</v>
      </c>
      <c r="D20" s="6" t="s">
        <v>15</v>
      </c>
      <c r="E20" s="7">
        <v>2</v>
      </c>
      <c r="F20" s="7">
        <v>0</v>
      </c>
      <c r="G20" s="7">
        <v>0</v>
      </c>
      <c r="H20" s="7">
        <v>0</v>
      </c>
      <c r="I20" s="7">
        <v>0</v>
      </c>
      <c r="J20" s="7">
        <v>2</v>
      </c>
      <c r="K20" s="7">
        <v>0</v>
      </c>
    </row>
    <row r="21" spans="1:11" ht="18" customHeight="1" ns3:dyDescent="0.3">
      <c r="A21" s="6" t="s">
        <v>78</v>
      </c>
      <c r="B21" s="7"/>
      <c r="C21" s="6" t="s">
        <v>21</v>
      </c>
      <c r="D21" s="6" t="s">
        <v>15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0</v>
      </c>
    </row>
    <row r="22" spans="1:11" ht="18" customHeight="1" ns3:dyDescent="0.35">
      <c r="A22" s="3" t="s">
        <v>79</v>
      </c>
      <c r="B22" s="4">
        <v>3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 ht="18" customHeight="1" ns3:dyDescent="0.3">
      <c r="A23" s="6" t="s">
        <v>80</v>
      </c>
      <c r="B23" s="7"/>
      <c r="C23" s="6" t="s">
        <v>14</v>
      </c>
      <c r="D23" s="6" t="s">
        <v>15</v>
      </c>
      <c r="E23" s="7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2</v>
      </c>
    </row>
    <row r="24" spans="1:11" ht="18" customHeight="1" ns3:dyDescent="0.3">
      <c r="A24" s="6" t="s">
        <v>81</v>
      </c>
      <c r="B24" s="7"/>
      <c r="C24" s="6" t="s">
        <v>17</v>
      </c>
      <c r="D24" s="6" t="s">
        <v>15</v>
      </c>
      <c r="E24" s="7">
        <v>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</v>
      </c>
    </row>
    <row r="25" spans="1:11" ht="18" customHeight="1" ns3:dyDescent="0.3">
      <c r="A25" s="6" t="s">
        <v>82</v>
      </c>
      <c r="B25" s="7"/>
      <c r="C25" s="6" t="s">
        <v>21</v>
      </c>
      <c r="D25" s="6" t="s">
        <v>15</v>
      </c>
      <c r="E25" s="7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</row>
    <row r="26" spans="1:11" ht="28.5" customHeight="1" ns3:dyDescent="0.3">
      <c r="A26" s="8" t="s">
        <v>31</v>
      </c>
      <c r="B26" s="8"/>
      <c r="C26" s="8"/>
      <c r="D26" s="8"/>
      <c r="E26" s="8">
        <f t="shared" ref="E26:K26" si="0">SUM(E7:E25)</f>
        <v>34</v>
      </c>
      <c r="F26" s="8">
        <f t="shared" si="0"/>
        <v>2</v>
      </c>
      <c r="G26" s="8">
        <f t="shared" si="0"/>
        <v>3</v>
      </c>
      <c r="H26" s="8">
        <f t="shared" si="0"/>
        <v>4</v>
      </c>
      <c r="I26" s="8">
        <f t="shared" si="0"/>
        <v>5</v>
      </c>
      <c r="J26" s="8">
        <f t="shared" si="0"/>
        <v>15</v>
      </c>
      <c r="K26" s="8">
        <f t="shared" si="0"/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dimension ref="A3:K19"/>
  <sheetViews>
    <sheetView zoomScaleNormal="100" workbookViewId="0"/>
  </sheetViews>
  <sheetFormatPr defaultColWidth="8.6640625" defaultRowHeight="14.4" ns3:dyDescent="0.3"/>
  <cols>
    <col min="1" max="1" width="34.88671875" customWidth="1"/>
    <col min="2" max="2" width="11.6640625" customWidth="1"/>
    <col min="3" max="3" width="19.109375" customWidth="1"/>
    <col min="4" max="4" width="18.88671875" customWidth="1"/>
    <col min="5" max="5" width="15.5546875" customWidth="1"/>
    <col min="11" max="11" width="14.6640625" customWidth="1"/>
  </cols>
  <sheetData>
    <row r="3" spans="1:11" ht="23.25" customHeight="1" ns3:dyDescent="0.45">
      <c r="A3" s="1" t="s">
        <v>83</v>
      </c>
    </row>
    <row r="6" spans="1:11" ht="30.75" customHeight="1" ns3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</row>
    <row r="7" spans="1:11" ht="18" customHeight="1" ns3:dyDescent="0.35">
      <c r="A7" s="3" t="s">
        <v>84</v>
      </c>
      <c r="B7" s="4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ns3:dyDescent="0.3">
      <c r="A8" s="6" t="s">
        <v>85</v>
      </c>
      <c r="B8" s="7"/>
      <c r="C8" s="6" t="s">
        <v>14</v>
      </c>
      <c r="D8" s="6" t="s">
        <v>15</v>
      </c>
      <c r="E8" s="7">
        <v>2</v>
      </c>
      <c r="F8" s="7">
        <v>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1" ht="18" customHeight="1" ns3:dyDescent="0.3">
      <c r="A9" s="6" t="s">
        <v>86</v>
      </c>
      <c r="B9" s="7"/>
      <c r="C9" s="6" t="s">
        <v>17</v>
      </c>
      <c r="D9" s="6" t="s">
        <v>15</v>
      </c>
      <c r="E9" s="7">
        <v>3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</row>
    <row r="10" spans="1:11" ht="18" customHeight="1" ns3:dyDescent="0.3">
      <c r="A10" s="6" t="s">
        <v>87</v>
      </c>
      <c r="B10" s="7"/>
      <c r="C10" s="6" t="s">
        <v>17</v>
      </c>
      <c r="D10" s="6" t="s">
        <v>15</v>
      </c>
      <c r="E10" s="7">
        <v>3</v>
      </c>
      <c r="F10" s="7">
        <v>0</v>
      </c>
      <c r="G10" s="7">
        <v>0</v>
      </c>
      <c r="H10" s="7">
        <v>3</v>
      </c>
      <c r="I10" s="7">
        <v>0</v>
      </c>
      <c r="J10" s="7">
        <v>0</v>
      </c>
      <c r="K10" s="7">
        <v>0</v>
      </c>
    </row>
    <row r="11" spans="1:11" ht="18" customHeight="1" ns3:dyDescent="0.3">
      <c r="A11" s="6" t="s">
        <v>88</v>
      </c>
      <c r="B11" s="7"/>
      <c r="C11" s="6" t="s">
        <v>17</v>
      </c>
      <c r="D11" s="6" t="s">
        <v>15</v>
      </c>
      <c r="E11" s="7">
        <v>2</v>
      </c>
      <c r="F11" s="7">
        <v>0</v>
      </c>
      <c r="G11" s="7">
        <v>0</v>
      </c>
      <c r="H11" s="7">
        <v>0</v>
      </c>
      <c r="I11" s="7">
        <v>2</v>
      </c>
      <c r="J11" s="7">
        <v>0</v>
      </c>
      <c r="K11" s="7">
        <v>0</v>
      </c>
    </row>
    <row r="12" spans="1:11" ht="18" customHeight="1" ns3:dyDescent="0.3">
      <c r="A12" s="6" t="s">
        <v>89</v>
      </c>
      <c r="B12" s="7"/>
      <c r="C12" s="6" t="s">
        <v>21</v>
      </c>
      <c r="D12" s="6" t="s">
        <v>15</v>
      </c>
      <c r="E12" s="7">
        <v>2</v>
      </c>
      <c r="F12" s="7">
        <v>0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</row>
    <row r="13" spans="1:11" ht="18" customHeight="1" ns3:dyDescent="0.35">
      <c r="A13" s="3" t="s">
        <v>90</v>
      </c>
      <c r="B13" s="4">
        <v>3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18" customHeight="1" ns3:dyDescent="0.3">
      <c r="A14" s="6" t="s">
        <v>91</v>
      </c>
      <c r="B14" s="7"/>
      <c r="C14" s="6" t="s">
        <v>14</v>
      </c>
      <c r="D14" s="6" t="s">
        <v>15</v>
      </c>
      <c r="E14" s="7">
        <v>2</v>
      </c>
      <c r="F14" s="7">
        <v>0</v>
      </c>
      <c r="G14" s="7">
        <v>0</v>
      </c>
      <c r="H14" s="7">
        <v>0</v>
      </c>
      <c r="I14" s="7">
        <v>2</v>
      </c>
      <c r="J14" s="7">
        <v>0</v>
      </c>
      <c r="K14" s="7">
        <v>0</v>
      </c>
    </row>
    <row r="15" spans="1:11" ht="18" customHeight="1" ns3:dyDescent="0.3">
      <c r="A15" s="6" t="s">
        <v>92</v>
      </c>
      <c r="B15" s="7"/>
      <c r="C15" s="6" t="s">
        <v>17</v>
      </c>
      <c r="D15" s="6" t="s">
        <v>15</v>
      </c>
      <c r="E15" s="7">
        <v>2</v>
      </c>
      <c r="F15" s="7">
        <v>0</v>
      </c>
      <c r="G15" s="7">
        <v>0</v>
      </c>
      <c r="H15" s="7">
        <v>0</v>
      </c>
      <c r="I15" s="7">
        <v>0</v>
      </c>
      <c r="J15" s="7">
        <v>2</v>
      </c>
      <c r="K15" s="7">
        <v>0</v>
      </c>
    </row>
    <row r="16" spans="1:11" ht="18" customHeight="1" ns3:dyDescent="0.3">
      <c r="A16" s="6" t="s">
        <v>93</v>
      </c>
      <c r="B16" s="7"/>
      <c r="C16" s="6" t="s">
        <v>17</v>
      </c>
      <c r="D16" s="6" t="s">
        <v>15</v>
      </c>
      <c r="E16" s="7">
        <v>2</v>
      </c>
      <c r="F16" s="7">
        <v>0</v>
      </c>
      <c r="G16" s="7">
        <v>0</v>
      </c>
      <c r="H16" s="7">
        <v>0</v>
      </c>
      <c r="I16" s="7">
        <v>0</v>
      </c>
      <c r="J16" s="7">
        <v>2</v>
      </c>
      <c r="K16" s="7">
        <v>0</v>
      </c>
    </row>
    <row r="17" spans="1:11" ht="18" customHeight="1" ns3:dyDescent="0.3">
      <c r="A17" s="6" t="s">
        <v>94</v>
      </c>
      <c r="B17" s="7"/>
      <c r="C17" s="6" t="s">
        <v>17</v>
      </c>
      <c r="D17" s="6" t="s">
        <v>15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1</v>
      </c>
      <c r="K17" s="7">
        <v>0</v>
      </c>
    </row>
    <row r="18" spans="1:11" ht="18" customHeight="1" ns3:dyDescent="0.3">
      <c r="A18" s="6" t="s">
        <v>95</v>
      </c>
      <c r="B18" s="7"/>
      <c r="C18" s="6" t="s">
        <v>21</v>
      </c>
      <c r="D18" s="6" t="s">
        <v>15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2</v>
      </c>
    </row>
    <row r="19" spans="1:11" ht="28.5" customHeight="1" ns3:dyDescent="0.3">
      <c r="A19" s="8" t="s">
        <v>31</v>
      </c>
      <c r="B19" s="8"/>
      <c r="C19" s="8"/>
      <c r="D19" s="8"/>
      <c r="E19" s="8">
        <f t="shared" ref="E19:K19" si="0">SUM(E7:E18)</f>
        <v>21</v>
      </c>
      <c r="F19" s="8">
        <f t="shared" si="0"/>
        <v>2</v>
      </c>
      <c r="G19" s="8">
        <f t="shared" si="0"/>
        <v>3</v>
      </c>
      <c r="H19" s="8">
        <f t="shared" si="0"/>
        <v>3</v>
      </c>
      <c r="I19" s="8">
        <f t="shared" si="0"/>
        <v>4</v>
      </c>
      <c r="J19" s="8">
        <f t="shared" si="0"/>
        <v>7</v>
      </c>
      <c r="K19" s="8">
        <f t="shared" si="0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 1</vt:lpstr>
      <vt:lpstr>Sprint 2</vt:lpstr>
      <vt:lpstr>Sprint 3</vt:lpstr>
      <vt:lpstr>Sprint 4</vt:lpstr>
      <vt:lpstr>Sprint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malla ramana</cp:lastModifiedBy>
  <cp:revision>0</cp:revision>
  <dcterms:created xsi:type="dcterms:W3CDTF">2026-04-06T18:33:18Z</dcterms:created>
  <dcterms:modified xsi:type="dcterms:W3CDTF">2026-04-07T10:54:30Z</dcterms:modified>
  <dc:language>en-US</dc:language>
</cp:coreProperties>
</file>